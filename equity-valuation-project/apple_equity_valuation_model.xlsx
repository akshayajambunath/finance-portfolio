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fedu-my.sharepoint.com/personal/akshayajambunath_usf_edu/Documents/"/>
    </mc:Choice>
  </mc:AlternateContent>
  <xr:revisionPtr revIDLastSave="0" documentId="8_{6028FB07-6CB7-4CB5-B867-18438D7F8BDC}" xr6:coauthVersionLast="47" xr6:coauthVersionMax="47" xr10:uidLastSave="{00000000-0000-0000-0000-000000000000}"/>
  <bookViews>
    <workbookView minimized="1" xWindow="1480" yWindow="1480" windowWidth="14400" windowHeight="7270" xr2:uid="{BCCC370A-3F01-47D9-8FBA-85C2C5E3D1DB}"/>
  </bookViews>
  <sheets>
    <sheet name="Summary" sheetId="1" r:id="rId1"/>
    <sheet name="Financials" sheetId="3" r:id="rId2"/>
    <sheet name="Ratios" sheetId="2" r:id="rId3"/>
    <sheet name="Valuation" sheetId="4" r:id="rId4"/>
    <sheet name="Char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B9" i="1" s="1"/>
  <c r="B7" i="4"/>
  <c r="B6" i="4"/>
  <c r="B5" i="4"/>
  <c r="B8" i="1" s="1"/>
  <c r="B4" i="2"/>
  <c r="B3" i="2"/>
  <c r="B2" i="2"/>
  <c r="B7" i="1"/>
</calcChain>
</file>

<file path=xl/sharedStrings.xml><?xml version="1.0" encoding="utf-8"?>
<sst xmlns="http://schemas.openxmlformats.org/spreadsheetml/2006/main" count="29" uniqueCount="26">
  <si>
    <t>Company Name</t>
  </si>
  <si>
    <t>Ticker</t>
  </si>
  <si>
    <t>Current Stock Price</t>
  </si>
  <si>
    <t>Market Cap</t>
  </si>
  <si>
    <t>Sector</t>
  </si>
  <si>
    <t>Apple Inc.</t>
  </si>
  <si>
    <t>AAPL</t>
  </si>
  <si>
    <t>Technology</t>
  </si>
  <si>
    <t>Year</t>
  </si>
  <si>
    <t>Revenue</t>
  </si>
  <si>
    <t>Net Income</t>
  </si>
  <si>
    <t>Apple Inc. Equity Valuation Model</t>
  </si>
  <si>
    <t>EPS (TTM)</t>
  </si>
  <si>
    <t>Estimated Fair Value</t>
  </si>
  <si>
    <t>Valuation Signal</t>
  </si>
  <si>
    <t>Revenue Growth (Latest Year)</t>
  </si>
  <si>
    <t>Profit Margin (Latest Year)</t>
  </si>
  <si>
    <t>Net Income Growth</t>
  </si>
  <si>
    <t>Current Price</t>
  </si>
  <si>
    <t>Assumed Fair P/E</t>
  </si>
  <si>
    <t>Market P/E</t>
  </si>
  <si>
    <t>Price Difference</t>
  </si>
  <si>
    <t>Financial Statement Summary</t>
  </si>
  <si>
    <t>Ratios</t>
  </si>
  <si>
    <t>Valuation</t>
  </si>
  <si>
    <t>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</si>
</sst>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3" fontId="0" fillId="0" borderId="0" xfId="0" applyNumberFormat="1"/>
    <xf numFmtId="0" fontId="0" fillId="0" borderId="0" xfId="0" applyAlignment="1">
      <alignment horizontal="right"/>
    </xf>
    <xf numFmtId="10" fontId="0" fillId="0" borderId="0" xfId="1" applyNumberFormat="1" applyFont="1"/>
    <xf numFmtId="0" fontId="2" fillId="0" borderId="1" xfId="0" applyFont="1" applyBorder="1"/>
    <xf numFmtId="0" fontId="0" fillId="0" borderId="1" xfId="0" applyBorder="1" applyAlignment="1">
      <alignment horizontal="right"/>
    </xf>
    <xf numFmtId="3" fontId="0" fillId="0" borderId="1" xfId="0" applyNumberFormat="1" applyBorder="1" applyAlignment="1">
      <alignment horizontal="right"/>
    </xf>
    <xf numFmtId="0" fontId="3" fillId="2" borderId="0" xfId="0" applyFont="1" applyFill="1" applyAlignment="1">
      <alignment horizontal="center"/>
    </xf>
    <xf numFmtId="10" fontId="4" fillId="0" borderId="0" xfId="1" applyNumberFormat="1" applyFont="1" applyFill="1"/>
    <xf numFmtId="0" fontId="5" fillId="0" borderId="2" xfId="0" applyFont="1" applyFill="1" applyBorder="1" applyAlignment="1">
      <alignment horizontal="center" vertical="top"/>
    </xf>
    <xf numFmtId="0" fontId="5" fillId="0" borderId="3" xfId="0" applyFont="1" applyFill="1" applyBorder="1" applyAlignment="1">
      <alignment horizontal="center" vertical="top"/>
    </xf>
    <xf numFmtId="0" fontId="5" fillId="0" borderId="4" xfId="0" applyFont="1" applyFill="1" applyBorder="1" applyAlignment="1">
      <alignment horizontal="center" vertical="top"/>
    </xf>
    <xf numFmtId="0" fontId="2" fillId="0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Trend (3-Year)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Financials!$B$2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Financials!$A$3:$A$5</c:f>
              <c:numCache>
                <c:formatCode>General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Financials!$B$3:$B$5</c:f>
              <c:numCache>
                <c:formatCode>#,##0</c:formatCode>
                <c:ptCount val="3"/>
                <c:pt idx="0">
                  <c:v>416161000000</c:v>
                </c:pt>
                <c:pt idx="1">
                  <c:v>391035000000</c:v>
                </c:pt>
                <c:pt idx="2">
                  <c:v>383285000000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B8-4117-9115-82DE7F695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6992591"/>
        <c:axId val="256991151"/>
      </c:lineChart>
      <c:catAx>
        <c:axId val="25699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991151"/>
        <c:crosses val="autoZero"/>
        <c:auto val="1"/>
        <c:lblAlgn val="ctr"/>
        <c:lblOffset val="100"/>
        <c:noMultiLvlLbl val="0"/>
      </c:catAx>
      <c:valAx>
        <c:axId val="25699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992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Income Trend (3-Year)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Financials!$C$2</c:f>
              <c:strCache>
                <c:ptCount val="1"/>
                <c:pt idx="0">
                  <c:v>Net Income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Financials!$A$3:$A$5</c:f>
              <c:numCache>
                <c:formatCode>General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Financials!$C$3:$C$5</c:f>
              <c:numCache>
                <c:formatCode>#,##0</c:formatCode>
                <c:ptCount val="3"/>
                <c:pt idx="0">
                  <c:v>112010000000</c:v>
                </c:pt>
                <c:pt idx="1">
                  <c:v>93736000000</c:v>
                </c:pt>
                <c:pt idx="2">
                  <c:v>96995000000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AF-4A7A-99F4-0CD76AF29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715103"/>
        <c:axId val="52716543"/>
      </c:lineChart>
      <c:catAx>
        <c:axId val="5271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16543"/>
        <c:crosses val="autoZero"/>
        <c:auto val="1"/>
        <c:lblAlgn val="ctr"/>
        <c:lblOffset val="100"/>
        <c:noMultiLvlLbl val="0"/>
      </c:catAx>
      <c:valAx>
        <c:axId val="5271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15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603250</xdr:colOff>
      <xdr:row>2</xdr:row>
      <xdr:rowOff>12700</xdr:rowOff>
    </xdr:from>
    <xdr:to>
      <xdr:col>8</xdr:col>
      <xdr:colOff>298450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58F33-EB78-4E57-97E1-53DD9BB37B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266700</xdr:colOff>
      <xdr:row>2</xdr:row>
      <xdr:rowOff>12700</xdr:rowOff>
    </xdr:from>
    <xdr:to>
      <xdr:col>16</xdr:col>
      <xdr:colOff>571500</xdr:colOff>
      <xdr:row>16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DDB9D3-6CE9-4334-AB9B-DF357D9EB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13747-2F4D-4F58-9B07-964F40CA9757}">
  <dimension ref="A1:B9"/>
  <sheetViews>
    <sheetView tabSelected="1" workbookViewId="0">
      <selection activeCell="C12" sqref="C12"/>
    </sheetView>
  </sheetViews>
  <sheetFormatPr defaultRowHeight="14.5" x14ac:dyDescent="0.35"/>
  <cols>
    <col min="1" max="1" width="18.7265625" customWidth="1"/>
    <col min="2" max="2" width="32.08984375" customWidth="1"/>
  </cols>
  <sheetData>
    <row r="1" spans="1:2" ht="21" x14ac:dyDescent="0.5">
      <c r="A1" s="8" t="s">
        <v>11</v>
      </c>
      <c r="B1" s="8"/>
    </row>
    <row r="2" spans="1:2" x14ac:dyDescent="0.35">
      <c r="A2" s="5" t="s">
        <v>0</v>
      </c>
      <c r="B2" s="6" t="s">
        <v>5</v>
      </c>
    </row>
    <row r="3" spans="1:2" x14ac:dyDescent="0.35">
      <c r="A3" s="5" t="s">
        <v>1</v>
      </c>
      <c r="B3" s="6" t="s">
        <v>6</v>
      </c>
    </row>
    <row r="4" spans="1:2" x14ac:dyDescent="0.35">
      <c r="A4" s="5" t="s">
        <v>2</v>
      </c>
      <c r="B4" s="6">
        <v>264.58</v>
      </c>
    </row>
    <row r="5" spans="1:2" x14ac:dyDescent="0.35">
      <c r="A5" s="5" t="s">
        <v>3</v>
      </c>
      <c r="B5" s="7">
        <v>3888777003008</v>
      </c>
    </row>
    <row r="6" spans="1:2" x14ac:dyDescent="0.35">
      <c r="A6" s="5" t="s">
        <v>4</v>
      </c>
      <c r="B6" s="6" t="s">
        <v>7</v>
      </c>
    </row>
    <row r="7" spans="1:2" x14ac:dyDescent="0.35">
      <c r="A7" s="5" t="s">
        <v>12</v>
      </c>
      <c r="B7" s="6">
        <f>Valuation!B2</f>
        <v>7.91</v>
      </c>
    </row>
    <row r="8" spans="1:2" x14ac:dyDescent="0.35">
      <c r="A8" s="5" t="s">
        <v>13</v>
      </c>
      <c r="B8" s="6">
        <f>Valuation!B5</f>
        <v>197.75</v>
      </c>
    </row>
    <row r="9" spans="1:2" x14ac:dyDescent="0.35">
      <c r="A9" s="5" t="s">
        <v>14</v>
      </c>
      <c r="B9" s="6" t="str">
        <f>Valuation!B8</f>
        <v>OVERVALUED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37753-06F6-43A4-BB99-18E6B40D869B}">
  <dimension ref="A1:C5"/>
  <sheetViews>
    <sheetView workbookViewId="0">
      <selection sqref="A1:C1"/>
    </sheetView>
  </sheetViews>
  <sheetFormatPr defaultRowHeight="14.5" x14ac:dyDescent="0.35"/>
  <cols>
    <col min="1" max="1" width="17.1796875" customWidth="1"/>
    <col min="2" max="2" width="22.6328125" customWidth="1"/>
    <col min="3" max="3" width="18.90625" customWidth="1"/>
  </cols>
  <sheetData>
    <row r="1" spans="1:3" ht="18.5" x14ac:dyDescent="0.45">
      <c r="A1" s="14" t="s">
        <v>22</v>
      </c>
      <c r="B1" s="15"/>
      <c r="C1" s="15"/>
    </row>
    <row r="2" spans="1:3" ht="16" x14ac:dyDescent="0.35">
      <c r="A2" s="10" t="s">
        <v>8</v>
      </c>
      <c r="B2" s="11" t="s">
        <v>9</v>
      </c>
      <c r="C2" s="12" t="s">
        <v>10</v>
      </c>
    </row>
    <row r="3" spans="1:3" x14ac:dyDescent="0.35">
      <c r="A3">
        <v>2025</v>
      </c>
      <c r="B3" s="2">
        <v>416161000000</v>
      </c>
      <c r="C3" s="2">
        <v>112010000000</v>
      </c>
    </row>
    <row r="4" spans="1:3" x14ac:dyDescent="0.35">
      <c r="A4">
        <v>2024</v>
      </c>
      <c r="B4" s="2">
        <v>391035000000</v>
      </c>
      <c r="C4" s="2">
        <v>93736000000</v>
      </c>
    </row>
    <row r="5" spans="1:3" x14ac:dyDescent="0.35">
      <c r="A5">
        <v>2023</v>
      </c>
      <c r="B5" s="2">
        <v>383285000000</v>
      </c>
      <c r="C5" s="2">
        <v>96995000000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AFBB3-1F8F-4D4F-A1D5-FE8D618F7C6F}">
  <dimension ref="A1:B4"/>
  <sheetViews>
    <sheetView workbookViewId="0">
      <selection sqref="A1:B1"/>
    </sheetView>
  </sheetViews>
  <sheetFormatPr defaultRowHeight="14.5" x14ac:dyDescent="0.35"/>
  <cols>
    <col min="1" max="1" width="27.26953125" customWidth="1"/>
    <col min="2" max="2" width="20.36328125" customWidth="1"/>
  </cols>
  <sheetData>
    <row r="1" spans="1:2" ht="18.5" x14ac:dyDescent="0.45">
      <c r="A1" s="14" t="s">
        <v>23</v>
      </c>
      <c r="B1" s="15"/>
    </row>
    <row r="2" spans="1:2" x14ac:dyDescent="0.35">
      <c r="A2" s="13" t="s">
        <v>16</v>
      </c>
      <c r="B2" s="9">
        <f>Financials!C3/Financials!B3</f>
        <v>0.26915064121818238</v>
      </c>
    </row>
    <row r="3" spans="1:2" x14ac:dyDescent="0.35">
      <c r="A3" s="13" t="s">
        <v>15</v>
      </c>
      <c r="B3" s="4">
        <f>(Financials!B3-Financials!B4)/Financials!B4</f>
        <v>6.4255117828327393E-2</v>
      </c>
    </row>
    <row r="4" spans="1:2" x14ac:dyDescent="0.35">
      <c r="A4" s="13" t="s">
        <v>17</v>
      </c>
      <c r="B4" s="4">
        <f>(Financials!C3-Financials!C4)/Financials!C4</f>
        <v>0.19495177946573355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BA04A-9EC7-4CBA-90ED-E30A1BDCB2D7}">
  <dimension ref="A1:B8"/>
  <sheetViews>
    <sheetView workbookViewId="0">
      <selection sqref="A1:B1"/>
    </sheetView>
  </sheetViews>
  <sheetFormatPr defaultRowHeight="14.5" x14ac:dyDescent="0.35"/>
  <cols>
    <col min="1" max="1" width="24.1796875" customWidth="1"/>
    <col min="2" max="2" width="19.81640625" customWidth="1"/>
  </cols>
  <sheetData>
    <row r="1" spans="1:2" ht="18.5" x14ac:dyDescent="0.45">
      <c r="A1" s="14" t="s">
        <v>24</v>
      </c>
      <c r="B1" s="15"/>
    </row>
    <row r="2" spans="1:2" x14ac:dyDescent="0.35">
      <c r="A2" s="1" t="s">
        <v>12</v>
      </c>
      <c r="B2" s="3">
        <v>7.91</v>
      </c>
    </row>
    <row r="3" spans="1:2" x14ac:dyDescent="0.35">
      <c r="A3" s="1" t="s">
        <v>18</v>
      </c>
      <c r="B3" s="3">
        <v>264.58</v>
      </c>
    </row>
    <row r="4" spans="1:2" x14ac:dyDescent="0.35">
      <c r="A4" s="1" t="s">
        <v>19</v>
      </c>
      <c r="B4" s="3">
        <v>25</v>
      </c>
    </row>
    <row r="5" spans="1:2" x14ac:dyDescent="0.35">
      <c r="A5" s="1" t="s">
        <v>13</v>
      </c>
      <c r="B5" s="3">
        <f>B2*B4</f>
        <v>197.75</v>
      </c>
    </row>
    <row r="6" spans="1:2" x14ac:dyDescent="0.35">
      <c r="A6" s="1" t="s">
        <v>20</v>
      </c>
      <c r="B6" s="3">
        <f>B3/B2</f>
        <v>33.448798988621995</v>
      </c>
    </row>
    <row r="7" spans="1:2" x14ac:dyDescent="0.35">
      <c r="A7" s="1" t="s">
        <v>21</v>
      </c>
      <c r="B7" s="3">
        <f>B3-B5</f>
        <v>66.829999999999984</v>
      </c>
    </row>
    <row r="8" spans="1:2" x14ac:dyDescent="0.35">
      <c r="A8" s="1" t="s">
        <v>14</v>
      </c>
      <c r="B8" s="3" t="str">
        <f>IF(B3&lt;B5,"UNDERVALUED",IF(B3&gt;B5,"OVERVALUED","FAIRLY VALUED"))</f>
        <v>OVERVALUED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9478C-38EC-4E59-A57E-591B375EE031}">
  <dimension ref="I1:J1"/>
  <sheetViews>
    <sheetView workbookViewId="0">
      <selection activeCell="M1" sqref="M1"/>
    </sheetView>
  </sheetViews>
  <sheetFormatPr defaultRowHeight="14.5" x14ac:dyDescent="0.35"/>
  <sheetData>
    <row r="1" spans="9:10" ht="18.5" x14ac:dyDescent="0.45">
      <c r="I1" s="14" t="s">
        <v>25</v>
      </c>
      <c r="J1" s="15"/>
    </row>
  </sheetData>
  <mergeCells count="1">
    <mergeCell ref="I1:J1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41bf7de-e2e5-46df-8d67-82607df9deaa}" enabled="0" method="" siteId="{741bf7de-e2e5-46df-8d67-82607df9d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Financials</vt:lpstr>
      <vt:lpstr>Ratios</vt:lpstr>
      <vt:lpstr>Valuation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Jambunath</dc:creator>
  <cp:lastModifiedBy>Akshaya Jambunath</cp:lastModifiedBy>
  <dcterms:created xsi:type="dcterms:W3CDTF">2026-02-16T18:31:16Z</dcterms:created>
  <dcterms:modified xsi:type="dcterms:W3CDTF">2026-02-23T00:39:38Z</dcterms:modified>
</cp:coreProperties>
</file>